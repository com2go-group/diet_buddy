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Feature cost" sheetId="2" state="visible" r:id="rId2"/>
    <sheet name="Free user P&amp;L" sheetId="3" state="visible" r:id="rId3"/>
    <sheet name="Premium &amp; blended" sheetId="4" state="visible" r:id="rId4"/>
    <sheet name="Break-ev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-"/>
    <numFmt numFmtId="165" formatCode="#,##0;(#,##0);-"/>
    <numFmt numFmtId="166" formatCode="0.0%;(0.0%);-"/>
    <numFmt numFmtId="167" formatCode="#,##0.0;(#,##0.0);-"/>
    <numFmt numFmtId="168" formatCode="$#,##0.0000;($#,##0.0000);-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  <font>
      <name val="Arial"/>
      <i val="1"/>
      <color rgb="00666666"/>
    </font>
    <font>
      <name val="Arial"/>
      <color rgb="00008000"/>
    </font>
    <font>
      <name val="Arial"/>
      <color theme="1"/>
      <sz val="1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0" fontId="6" fillId="0" borderId="0" pivotButton="0" quotePrefix="0" xfId="0"/>
    <xf numFmtId="165" fontId="5" fillId="2" borderId="0" pivotButton="0" quotePrefix="0" xfId="0"/>
    <xf numFmtId="166" fontId="5" fillId="2" borderId="0" pivotButton="0" quotePrefix="0" xfId="0"/>
    <xf numFmtId="167" fontId="5" fillId="2" borderId="0" pivotButton="0" quotePrefix="0" xfId="0"/>
    <xf numFmtId="168" fontId="5" fillId="2" borderId="0" pivotButton="0" quotePrefix="0" xfId="0"/>
    <xf numFmtId="168" fontId="7" fillId="0" borderId="0" pivotButton="0" quotePrefix="0" xfId="0"/>
    <xf numFmtId="168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67" fontId="4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70" customWidth="1" min="3" max="3"/>
  </cols>
  <sheetData>
    <row r="1">
      <c r="A1" s="1" t="inlineStr">
        <is>
          <t>DietBuddy — free-tier AI cost vs ad revenue</t>
        </is>
      </c>
      <c r="B1" s="2" t="n"/>
      <c r="C1" s="2" t="n"/>
    </row>
    <row r="2">
      <c r="A2" s="3" t="inlineStr">
        <is>
          <t>Edit the yellow cells (blue text). Every other sheet recalculates from them. Values are estimates, not measured data; replace them with real AdMob and ai_usage figures after launch.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Model prices (USD per million tokens)</t>
        </is>
      </c>
      <c r="B4" s="2" t="n"/>
      <c r="C4" s="2" t="n"/>
    </row>
    <row r="5">
      <c r="A5" s="5" t="inlineStr">
        <is>
          <t>Haiku 4.5 — input</t>
        </is>
      </c>
      <c r="B5" s="6" t="n">
        <v>1</v>
      </c>
      <c r="C5" s="7" t="inlineStr">
        <is>
          <t>Anthropic list price (claude-api skill, cached 2026-09-25)</t>
        </is>
      </c>
    </row>
    <row r="6">
      <c r="A6" s="5" t="inlineStr">
        <is>
          <t>Haiku 4.5 — output</t>
        </is>
      </c>
      <c r="B6" s="6" t="n">
        <v>5</v>
      </c>
      <c r="C6" s="7" t="inlineStr">
        <is>
          <t>Anthropic list price</t>
        </is>
      </c>
    </row>
    <row r="7">
      <c r="A7" s="5" t="inlineStr">
        <is>
          <t>Haiku 4.5 — cache read</t>
        </is>
      </c>
      <c r="B7" s="6" t="n">
        <v>0.1</v>
      </c>
      <c r="C7" s="7" t="inlineStr">
        <is>
          <t>0.1x input</t>
        </is>
      </c>
    </row>
    <row r="8">
      <c r="A8" s="5" t="inlineStr">
        <is>
          <t>Sonnet 5 — input</t>
        </is>
      </c>
      <c r="B8" s="6" t="n">
        <v>2</v>
      </c>
      <c r="C8" s="7" t="inlineStr">
        <is>
          <t>Anthropic list price; Premium model</t>
        </is>
      </c>
    </row>
    <row r="9">
      <c r="A9" s="5" t="inlineStr">
        <is>
          <t>Sonnet 5 — output</t>
        </is>
      </c>
      <c r="B9" s="6" t="n">
        <v>10</v>
      </c>
      <c r="C9" s="7" t="inlineStr">
        <is>
          <t>Anthropic list price</t>
        </is>
      </c>
    </row>
    <row r="10">
      <c r="A10" s="5" t="inlineStr">
        <is>
          <t>Sonnet 5 — cache read</t>
        </is>
      </c>
      <c r="B10" s="6" t="n">
        <v>0.2</v>
      </c>
      <c r="C10" s="7" t="inlineStr">
        <is>
          <t>0.1x input</t>
        </is>
      </c>
    </row>
    <row r="11">
      <c r="A11" s="4" t="inlineStr">
        <is>
          <t>Tokens per AI call (estimates; measure with ai_usage)</t>
        </is>
      </c>
      <c r="B11" s="2" t="n"/>
      <c r="C11" s="2" t="n"/>
    </row>
    <row r="12">
      <c r="A12" s="5" t="inlineStr">
        <is>
          <t>Coach message — input tokens</t>
        </is>
      </c>
      <c r="B12" s="8" t="n">
        <v>4000</v>
      </c>
      <c r="C12" s="7" t="inlineStr">
        <is>
          <t>System prompt + user context + up to 12 history messages</t>
        </is>
      </c>
    </row>
    <row r="13">
      <c r="A13" s="5" t="inlineStr">
        <is>
          <t>Coach message — output tokens</t>
        </is>
      </c>
      <c r="B13" s="8" t="n">
        <v>300</v>
      </c>
      <c r="C13" s="7" t="inlineStr">
        <is>
          <t>Reply JSON</t>
        </is>
      </c>
    </row>
    <row r="14">
      <c r="A14" s="5" t="inlineStr">
        <is>
          <t>Coach — share of input read from cache (free, Haiku)</t>
        </is>
      </c>
      <c r="B14" s="9" t="n">
        <v>0</v>
      </c>
      <c r="C14" s="7" t="inlineStr">
        <is>
          <t>Haiku 4.5 caches only prompts &gt;= 4,096 tokens: ~0 for short chats</t>
        </is>
      </c>
    </row>
    <row r="15">
      <c r="A15" s="5" t="inlineStr">
        <is>
          <t>Coach — share of input read from cache (Premium, Sonnet)</t>
        </is>
      </c>
      <c r="B15" s="9" t="n">
        <v>0.6</v>
      </c>
      <c r="C15" s="7" t="inlineStr">
        <is>
          <t>Sonnet 5 caches prompts &gt;= 1,024 tokens; later messages in a chat read the prefix</t>
        </is>
      </c>
    </row>
    <row r="16">
      <c r="A16" s="5" t="inlineStr">
        <is>
          <t>Meal plan — input tokens</t>
        </is>
      </c>
      <c r="B16" s="8" t="n">
        <v>2000</v>
      </c>
      <c r="C16" s="7" t="inlineStr">
        <is>
          <t>Rules + targets + preferences</t>
        </is>
      </c>
    </row>
    <row r="17">
      <c r="A17" s="5" t="inlineStr">
        <is>
          <t>Meal plan — output tokens</t>
        </is>
      </c>
      <c r="B17" s="8" t="n">
        <v>1200</v>
      </c>
      <c r="C17" s="7" t="inlineStr">
        <is>
          <t>Four dishes with ingredients and steps</t>
        </is>
      </c>
    </row>
    <row r="18">
      <c r="A18" s="5" t="inlineStr">
        <is>
          <t>Meal plan — attempts per plan (diet-rule retries)</t>
        </is>
      </c>
      <c r="B18" s="10" t="n">
        <v>1.3</v>
      </c>
      <c r="C18" s="7" t="inlineStr">
        <is>
          <t>Up to 3 attempts when a dish breaks a rule</t>
        </is>
      </c>
    </row>
    <row r="19">
      <c r="A19" s="5" t="inlineStr">
        <is>
          <t>Translation (non-English) — input tokens</t>
        </is>
      </c>
      <c r="B19" s="8" t="n">
        <v>800</v>
      </c>
      <c r="C19" s="7" t="inlineStr">
        <is>
          <t>Dish texts sent back for translation</t>
        </is>
      </c>
    </row>
    <row r="20">
      <c r="A20" s="5" t="inlineStr">
        <is>
          <t>Translation (non-English) — output tokens</t>
        </is>
      </c>
      <c r="B20" s="8" t="n">
        <v>900</v>
      </c>
      <c r="C20" s="7" t="inlineStr"/>
    </row>
    <row r="21">
      <c r="A21" s="5" t="inlineStr">
        <is>
          <t>Share of users not using English</t>
        </is>
      </c>
      <c r="B21" s="9" t="n">
        <v>0.5</v>
      </c>
      <c r="C21" s="7" t="inlineStr">
        <is>
          <t>German, French, Spanish, Italian, Greek</t>
        </is>
      </c>
    </row>
    <row r="22">
      <c r="A22" s="5" t="inlineStr">
        <is>
          <t>Another idea — input tokens</t>
        </is>
      </c>
      <c r="B22" s="8" t="n">
        <v>1800</v>
      </c>
      <c r="C22" s="7" t="inlineStr"/>
    </row>
    <row r="23">
      <c r="A23" s="5" t="inlineStr">
        <is>
          <t>Another idea — output tokens</t>
        </is>
      </c>
      <c r="B23" s="8" t="n">
        <v>400</v>
      </c>
      <c r="C23" s="7" t="inlineStr"/>
    </row>
    <row r="24">
      <c r="A24" s="5" t="inlineStr">
        <is>
          <t>Another idea — attempts</t>
        </is>
      </c>
      <c r="B24" s="10" t="n">
        <v>1.2</v>
      </c>
      <c r="C24" s="7" t="inlineStr"/>
    </row>
    <row r="25">
      <c r="A25" s="5" t="inlineStr">
        <is>
          <t>Food photo scan — input tokens</t>
        </is>
      </c>
      <c r="B25" s="8" t="n">
        <v>2300</v>
      </c>
      <c r="C25" s="7" t="inlineStr">
        <is>
          <t>Image ~1,500 + prompt</t>
        </is>
      </c>
    </row>
    <row r="26">
      <c r="A26" s="5" t="inlineStr">
        <is>
          <t>Food photo scan — output tokens</t>
        </is>
      </c>
      <c r="B26" s="8" t="n">
        <v>300</v>
      </c>
      <c r="C26" s="7" t="inlineStr"/>
    </row>
    <row r="27">
      <c r="A27" s="5" t="inlineStr">
        <is>
          <t>Food photo scan — attempts</t>
        </is>
      </c>
      <c r="B27" s="10" t="n">
        <v>1.1</v>
      </c>
      <c r="C27" s="7" t="inlineStr"/>
    </row>
    <row r="28">
      <c r="A28" s="4" t="inlineStr">
        <is>
          <t>Ads (AdMob, EU; estimates)</t>
        </is>
      </c>
      <c r="B28" s="2" t="n"/>
      <c r="C28" s="2" t="n"/>
    </row>
    <row r="29">
      <c r="A29" s="5" t="inlineStr">
        <is>
          <t>Banner eCPM (USD per 1,000 impressions)</t>
        </is>
      </c>
      <c r="B29" s="6" t="n">
        <v>0.5</v>
      </c>
      <c r="C29" s="7" t="inlineStr">
        <is>
          <t>Assumption: EU banners typically $0.3–1.0</t>
        </is>
      </c>
    </row>
    <row r="30">
      <c r="A30" s="5" t="inlineStr">
        <is>
          <t>Banner impressions per active day</t>
        </is>
      </c>
      <c r="B30" s="8" t="n">
        <v>15</v>
      </c>
      <c r="C30" s="7" t="inlineStr">
        <is>
          <t>Home + Progress banners with refresh</t>
        </is>
      </c>
    </row>
    <row r="31">
      <c r="A31" s="5" t="inlineStr">
        <is>
          <t>Rewarded video eCPM (USD per 1,000 views)</t>
        </is>
      </c>
      <c r="B31" s="6" t="n">
        <v>8</v>
      </c>
      <c r="C31" s="7" t="inlineStr">
        <is>
          <t>Assumption: EU rewarded typically $6–15</t>
        </is>
      </c>
    </row>
    <row r="32">
      <c r="A32" s="5" t="inlineStr">
        <is>
          <t>Share of impressions non-personalised</t>
        </is>
      </c>
      <c r="B32" s="9" t="n">
        <v>0.6</v>
      </c>
      <c r="C32" s="7" t="inlineStr">
        <is>
          <t>All iOS (no ATT) + EU users who decline consent</t>
        </is>
      </c>
    </row>
    <row r="33">
      <c r="A33" s="5" t="inlineStr">
        <is>
          <t>Non-personalised earnings vs personalised</t>
        </is>
      </c>
      <c r="B33" s="9" t="n">
        <v>0.6</v>
      </c>
      <c r="C33" s="7" t="inlineStr">
        <is>
          <t>NPA ads typically earn 30–50% less</t>
        </is>
      </c>
    </row>
    <row r="34">
      <c r="A34" s="4" t="inlineStr">
        <is>
          <t>Free-tier limits and budget (app_config)</t>
        </is>
      </c>
      <c r="B34" s="2" t="n"/>
      <c r="C34" s="2" t="n"/>
    </row>
    <row r="35">
      <c r="A35" s="5" t="inlineStr">
        <is>
          <t>Base AI budget per day (USD)</t>
        </is>
      </c>
      <c r="B35" s="11" t="n">
        <v>0.04</v>
      </c>
      <c r="C35" s="7" t="inlineStr">
        <is>
          <t>ai_free_daily_budget_usd: a backstop sized to the free allowance</t>
        </is>
      </c>
    </row>
    <row r="36">
      <c r="A36" s="5" t="inlineStr">
        <is>
          <t>Extra AI budget per rewarded video (USD)</t>
        </is>
      </c>
      <c r="B36" s="11" t="n">
        <v>0.01</v>
      </c>
      <c r="C36" s="7" t="inlineStr">
        <is>
          <t>ai_budget_per_boost_usd: the cost of what a video adds</t>
        </is>
      </c>
    </row>
    <row r="37">
      <c r="A37" s="5" t="inlineStr">
        <is>
          <t>Rewarded videos per day that count (max)</t>
        </is>
      </c>
      <c r="B37" s="8" t="n">
        <v>3</v>
      </c>
      <c r="C37" s="7" t="inlineStr">
        <is>
          <t>ai_boosts_daily_max</t>
        </is>
      </c>
    </row>
    <row r="38">
      <c r="A38" s="4" t="inlineStr">
        <is>
          <t>Usage per active day — typical free user</t>
        </is>
      </c>
      <c r="B38" s="2" t="n"/>
      <c r="C38" s="2" t="n"/>
    </row>
    <row r="39">
      <c r="A39" s="5" t="inlineStr">
        <is>
          <t>Meal plans</t>
        </is>
      </c>
      <c r="B39" s="10" t="n">
        <v>1</v>
      </c>
      <c r="C39" s="7" t="inlineStr">
        <is>
          <t>Today's plan is always made</t>
        </is>
      </c>
    </row>
    <row r="40">
      <c r="A40" s="5" t="inlineStr">
        <is>
          <t>Coach messages</t>
        </is>
      </c>
      <c r="B40" s="10" t="n">
        <v>1</v>
      </c>
      <c r="C40" s="7" t="inlineStr"/>
    </row>
    <row r="41">
      <c r="A41" s="5" t="inlineStr">
        <is>
          <t>Another idea</t>
        </is>
      </c>
      <c r="B41" s="10" t="n">
        <v>0.3</v>
      </c>
      <c r="C41" s="7" t="inlineStr"/>
    </row>
    <row r="42">
      <c r="A42" s="5" t="inlineStr">
        <is>
          <t>Food photo scans</t>
        </is>
      </c>
      <c r="B42" s="10" t="n">
        <v>0.3</v>
      </c>
      <c r="C42" s="7" t="inlineStr"/>
    </row>
    <row r="43">
      <c r="A43" s="5" t="inlineStr">
        <is>
          <t>Rewarded videos watched</t>
        </is>
      </c>
      <c r="B43" s="10" t="n">
        <v>1.2</v>
      </c>
      <c r="C43" s="7" t="inlineStr">
        <is>
          <t>Meal reveals + AI boosts</t>
        </is>
      </c>
    </row>
    <row r="44">
      <c r="A44" s="4" t="inlineStr">
        <is>
          <t>Usage per active day — heavy free user</t>
        </is>
      </c>
      <c r="B44" s="2" t="n"/>
      <c r="C44" s="2" t="n"/>
    </row>
    <row r="45">
      <c r="A45" s="5" t="inlineStr">
        <is>
          <t>Meal plans</t>
        </is>
      </c>
      <c r="B45" s="10" t="n">
        <v>1</v>
      </c>
      <c r="C45" s="7" t="inlineStr"/>
    </row>
    <row r="46">
      <c r="A46" s="5" t="inlineStr">
        <is>
          <t>Coach messages</t>
        </is>
      </c>
      <c r="B46" s="10" t="n">
        <v>12</v>
      </c>
      <c r="C46" s="7" t="inlineStr">
        <is>
          <t>3 free + 3 per video x 3</t>
        </is>
      </c>
    </row>
    <row r="47">
      <c r="A47" s="5" t="inlineStr">
        <is>
          <t>Another idea</t>
        </is>
      </c>
      <c r="B47" s="10" t="n">
        <v>4</v>
      </c>
      <c r="C47" s="7" t="inlineStr">
        <is>
          <t>1 free + 1 per video x 3</t>
        </is>
      </c>
    </row>
    <row r="48">
      <c r="A48" s="5" t="inlineStr">
        <is>
          <t>Food photo scans</t>
        </is>
      </c>
      <c r="B48" s="10" t="n">
        <v>4</v>
      </c>
      <c r="C48" s="7" t="inlineStr">
        <is>
          <t>1 free + 1 per video x 3</t>
        </is>
      </c>
    </row>
    <row r="49">
      <c r="A49" s="5" t="inlineStr">
        <is>
          <t>Rewarded videos watched</t>
        </is>
      </c>
      <c r="B49" s="10" t="n">
        <v>3</v>
      </c>
      <c r="C49" s="7" t="inlineStr">
        <is>
          <t>The daily maximum that counts</t>
        </is>
      </c>
    </row>
    <row r="50">
      <c r="A50" s="4" t="inlineStr">
        <is>
          <t>Engagement and other costs</t>
        </is>
      </c>
      <c r="B50" s="2" t="n"/>
      <c r="C50" s="2" t="n"/>
    </row>
    <row r="51">
      <c r="A51" s="5" t="inlineStr">
        <is>
          <t>Active days per month (free user)</t>
        </is>
      </c>
      <c r="B51" s="10" t="n">
        <v>12</v>
      </c>
      <c r="C51" s="7" t="inlineStr">
        <is>
          <t>Typical after the first weeks</t>
        </is>
      </c>
    </row>
    <row r="52">
      <c r="A52" s="5" t="inlineStr">
        <is>
          <t>Infrastructure per user per month (USD)</t>
        </is>
      </c>
      <c r="B52" s="11" t="n">
        <v>0.01</v>
      </c>
      <c r="C52" s="7" t="inlineStr">
        <is>
          <t>Supabase, push, Sentry/PostHog shared across ~10k MAU</t>
        </is>
      </c>
    </row>
    <row r="53">
      <c r="A53" s="5" t="inlineStr">
        <is>
          <t>SMS code cost per phone sign-up (USD)</t>
        </is>
      </c>
      <c r="B53" s="11" t="n">
        <v>0.05</v>
      </c>
      <c r="C53" s="7" t="inlineStr">
        <is>
          <t>sms.to EU, about EUR 0.03–0.08; email sign-up ~0</t>
        </is>
      </c>
    </row>
    <row r="54">
      <c r="A54" s="4" t="inlineStr">
        <is>
          <t>Premium</t>
        </is>
      </c>
      <c r="B54" s="2" t="n"/>
      <c r="C54" s="2" t="n"/>
    </row>
    <row r="55">
      <c r="A55" s="5" t="inlineStr">
        <is>
          <t>Premium price per month (USD)</t>
        </is>
      </c>
      <c r="B55" s="6" t="n">
        <v>9.99</v>
      </c>
      <c r="C55" s="7" t="inlineStr">
        <is>
          <t>Monthly plan (CLAUDE.md section 12)</t>
        </is>
      </c>
    </row>
    <row r="56">
      <c r="A56" s="5" t="inlineStr">
        <is>
          <t>Store fee</t>
        </is>
      </c>
      <c r="B56" s="9" t="n">
        <v>0.15</v>
      </c>
      <c r="C56" s="7" t="inlineStr">
        <is>
          <t>App Store / Play small-business rate</t>
        </is>
      </c>
    </row>
    <row r="57">
      <c r="A57" s="5" t="inlineStr">
        <is>
          <t>Conversion to Premium (share of monthly users)</t>
        </is>
      </c>
      <c r="B57" s="9" t="n">
        <v>0.03</v>
      </c>
      <c r="C57" s="7" t="inlineStr">
        <is>
          <t>Assumption: 2–5% is common</t>
        </is>
      </c>
    </row>
    <row r="58">
      <c r="A58" s="5" t="inlineStr">
        <is>
          <t>Premium active days per month</t>
        </is>
      </c>
      <c r="B58" s="10" t="n">
        <v>20</v>
      </c>
      <c r="C58" s="7" t="inlineStr"/>
    </row>
    <row r="59">
      <c r="A59" s="5" t="inlineStr">
        <is>
          <t>Premium coach messages per active day</t>
        </is>
      </c>
      <c r="B59" s="10" t="n">
        <v>8</v>
      </c>
      <c r="C59" s="7" t="inlineStr">
        <is>
          <t>Fair-use cap is 60</t>
        </is>
      </c>
    </row>
    <row r="60">
      <c r="A60" s="5" t="inlineStr">
        <is>
          <t>Premium other AI per active day (USD)</t>
        </is>
      </c>
      <c r="B60" s="11" t="n">
        <v>0.03</v>
      </c>
      <c r="C60" s="7" t="inlineStr">
        <is>
          <t>Meal plan, insights, grocery, photos on Sonnet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8" customWidth="1" min="3" max="3"/>
    <col width="36" customWidth="1" min="4" max="4"/>
  </cols>
  <sheetData>
    <row r="1">
      <c r="A1" s="1" t="inlineStr">
        <is>
          <t>AI cost per call (USD)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4" t="inlineStr">
        <is>
          <t>Feature</t>
        </is>
      </c>
      <c r="B3" s="4" t="inlineStr">
        <is>
          <t>Free (Haiku)</t>
        </is>
      </c>
      <c r="C3" s="4" t="inlineStr">
        <is>
          <t>Premium (Sonnet)</t>
        </is>
      </c>
      <c r="D3" s="4" t="inlineStr">
        <is>
          <t>How it is calculated</t>
        </is>
      </c>
    </row>
    <row r="4">
      <c r="A4" s="5" t="inlineStr">
        <is>
          <t>Coach message</t>
        </is>
      </c>
      <c r="B4" s="12">
        <f>1*(Assumptions!$B$12*(1-Assumptions!$B$14)*Assumptions!$B$5+Assumptions!$B$12*Assumptions!$B$14*Assumptions!$B$7+Assumptions!$B$13*Assumptions!$B$6)/1000000</f>
        <v/>
      </c>
      <c r="C4" s="12">
        <f>1*(Assumptions!$B$12*(1-Assumptions!$B$15)*Assumptions!$B$8+Assumptions!$B$12*Assumptions!$B$15*Assumptions!$B$10+Assumptions!$B$13*Assumptions!$B$9)/1000000</f>
        <v/>
      </c>
      <c r="D4" s="7" t="inlineStr">
        <is>
          <t>input (part from cache) + output</t>
        </is>
      </c>
    </row>
    <row r="5">
      <c r="A5" s="5" t="inlineStr">
        <is>
          <t>Meal plan</t>
        </is>
      </c>
      <c r="B5" s="12">
        <f>Assumptions!$B$18*(Assumptions!$B$16*(1-0)*Assumptions!$B$5+Assumptions!$B$16*0*Assumptions!$B$7+Assumptions!$B$17*Assumptions!$B$6)/1000000</f>
        <v/>
      </c>
      <c r="C5" s="12">
        <f>Assumptions!$B$18*(Assumptions!$B$16*(1-0)*Assumptions!$B$8+Assumptions!$B$16*0*Assumptions!$B$10+Assumptions!$B$17*Assumptions!$B$9)/1000000</f>
        <v/>
      </c>
      <c r="D5" s="7" t="inlineStr">
        <is>
          <t>x attempts</t>
        </is>
      </c>
    </row>
    <row r="6">
      <c r="A6" s="5" t="inlineStr">
        <is>
          <t>Translation per plan (weighted by non-English share)</t>
        </is>
      </c>
      <c r="B6" s="12">
        <f>Assumptions!$B$21*(Assumptions!$B$19*Assumptions!$B$5+Assumptions!$B$20*Assumptions!$B$6)/1000000</f>
        <v/>
      </c>
      <c r="C6" s="12">
        <f>Assumptions!$B$21*(Assumptions!$B$19*Assumptions!$B$8+Assumptions!$B$20*Assumptions!$B$9)/1000000</f>
        <v/>
      </c>
      <c r="D6" s="7" t="inlineStr">
        <is>
          <t>only for non-English users</t>
        </is>
      </c>
    </row>
    <row r="7">
      <c r="A7" s="5" t="inlineStr">
        <is>
          <t>Another idea</t>
        </is>
      </c>
      <c r="B7" s="12">
        <f>Assumptions!$B$24*(Assumptions!$B$22*(1-0)*Assumptions!$B$5+Assumptions!$B$22*0*Assumptions!$B$7+Assumptions!$B$23*Assumptions!$B$6)/1000000</f>
        <v/>
      </c>
      <c r="C7" s="12">
        <f>Assumptions!$B$24*(Assumptions!$B$22*(1-0)*Assumptions!$B$8+Assumptions!$B$22*0*Assumptions!$B$10+Assumptions!$B$23*Assumptions!$B$9)/1000000</f>
        <v/>
      </c>
      <c r="D7" s="7" t="inlineStr">
        <is>
          <t>x attempts</t>
        </is>
      </c>
    </row>
    <row r="8">
      <c r="A8" s="5" t="inlineStr">
        <is>
          <t>Food photo scan</t>
        </is>
      </c>
      <c r="B8" s="12">
        <f>Assumptions!$B$27*(Assumptions!$B$25*(1-0)*Assumptions!$B$5+Assumptions!$B$25*0*Assumptions!$B$7+Assumptions!$B$26*Assumptions!$B$6)/1000000</f>
        <v/>
      </c>
      <c r="C8" s="12">
        <f>Assumptions!$B$27*(Assumptions!$B$25*(1-0)*Assumptions!$B$8+Assumptions!$B$25*0*Assumptions!$B$10+Assumptions!$B$26*Assumptions!$B$9)/1000000</f>
        <v/>
      </c>
      <c r="D8" s="7" t="inlineStr">
        <is>
          <t>x attempts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8" customWidth="1" min="3" max="3"/>
  </cols>
  <sheetData>
    <row r="1">
      <c r="A1" s="1" t="inlineStr">
        <is>
          <t>Free user: per active day and per month (USD)</t>
        </is>
      </c>
      <c r="B1" s="2" t="n"/>
      <c r="C1" s="2" t="n"/>
    </row>
    <row r="2">
      <c r="A2" s="2" t="n"/>
      <c r="B2" s="2" t="n"/>
      <c r="C2" s="2" t="n"/>
    </row>
    <row r="3">
      <c r="A3" s="4" t="inlineStr"/>
      <c r="B3" s="4" t="inlineStr">
        <is>
          <t>Typical</t>
        </is>
      </c>
      <c r="C3" s="4" t="inlineStr">
        <is>
          <t>Heavy (3 videos)</t>
        </is>
      </c>
    </row>
    <row r="4">
      <c r="A4" s="5" t="inlineStr">
        <is>
          <t>Banner revenue per active day</t>
        </is>
      </c>
      <c r="B4" s="13">
        <f>Assumptions!$B$30*Assumptions!$B$29/1000*(1-Assumptions!$B$32*(1-Assumptions!$B$33))</f>
        <v/>
      </c>
      <c r="C4" s="13">
        <f>Assumptions!$B$30*Assumptions!$B$29/1000*(1-Assumptions!$B$32*(1-Assumptions!$B$33))</f>
        <v/>
      </c>
    </row>
    <row r="5">
      <c r="A5" s="5" t="inlineStr">
        <is>
          <t>Rewarded revenue per active day</t>
        </is>
      </c>
      <c r="B5" s="13">
        <f>Assumptions!$B$43*Assumptions!$B$31/1000*(1-Assumptions!$B$32*(1-Assumptions!$B$33))</f>
        <v/>
      </c>
      <c r="C5" s="13">
        <f>Assumptions!$B$49*Assumptions!$B$31/1000*(1-Assumptions!$B$32*(1-Assumptions!$B$33))</f>
        <v/>
      </c>
    </row>
    <row r="6">
      <c r="A6" s="5" t="inlineStr">
        <is>
          <t>Ad revenue per active day</t>
        </is>
      </c>
      <c r="B6" s="13">
        <f>B4+B5</f>
        <v/>
      </c>
      <c r="C6" s="13">
        <f>C4+C5</f>
        <v/>
      </c>
    </row>
    <row r="7">
      <c r="A7" s="5" t="inlineStr">
        <is>
          <t>AI cost without the budget cap</t>
        </is>
      </c>
      <c r="B7" s="13">
        <f>Assumptions!$B$39*('Feature cost'!$B$5+'Feature cost'!$B$6)+Assumptions!$B$40*'Feature cost'!$B$4+Assumptions!$B$41*'Feature cost'!$B$7+Assumptions!$B$42*'Feature cost'!$B$8</f>
        <v/>
      </c>
      <c r="C7" s="13">
        <f>Assumptions!$B$45*('Feature cost'!$B$5+'Feature cost'!$B$6)+Assumptions!$B$46*'Feature cost'!$B$4+Assumptions!$B$47*'Feature cost'!$B$7+Assumptions!$B$48*'Feature cost'!$B$8</f>
        <v/>
      </c>
    </row>
    <row r="8">
      <c r="A8" s="5" t="inlineStr">
        <is>
          <t>Daily AI budget (base + videos, capped)</t>
        </is>
      </c>
      <c r="B8" s="13">
        <f>Assumptions!$B$35+MIN(Assumptions!$B$43,Assumptions!$B$37)*Assumptions!$B$36</f>
        <v/>
      </c>
      <c r="C8" s="13">
        <f>Assumptions!$B$35+MIN(Assumptions!$B$49,Assumptions!$B$37)*Assumptions!$B$36</f>
        <v/>
      </c>
    </row>
    <row r="9">
      <c r="A9" s="5" t="inlineStr">
        <is>
          <t>AI cost per active day (after the cap; the plan always runs)</t>
        </is>
      </c>
      <c r="B9" s="13">
        <f>MIN(B7,MAX(B8,Assumptions!$B$39*('Feature cost'!$B$5+'Feature cost'!$B$6)))</f>
        <v/>
      </c>
      <c r="C9" s="13">
        <f>MIN(C7,MAX(C8,Assumptions!$B$45*('Feature cost'!$B$5+'Feature cost'!$B$6)))</f>
        <v/>
      </c>
    </row>
    <row r="10">
      <c r="A10" s="5" t="inlineStr">
        <is>
          <t>Contribution per active day</t>
        </is>
      </c>
      <c r="B10" s="13">
        <f>B6-B9</f>
        <v/>
      </c>
      <c r="C10" s="13">
        <f>C6-C9</f>
        <v/>
      </c>
    </row>
    <row r="11">
      <c r="A11" s="5" t="inlineStr">
        <is>
          <t>Margin per active day</t>
        </is>
      </c>
      <c r="B11" s="14">
        <f>IF(B6=0,0,B10/B6)</f>
        <v/>
      </c>
      <c r="C11" s="14">
        <f>IF(C6=0,0,C10/C6)</f>
        <v/>
      </c>
    </row>
    <row r="12">
      <c r="A12" s="4" t="inlineStr">
        <is>
          <t>Per month</t>
        </is>
      </c>
      <c r="B12" s="2" t="n"/>
      <c r="C12" s="2" t="n"/>
    </row>
    <row r="13">
      <c r="A13" s="5" t="inlineStr">
        <is>
          <t>Ad revenue per month</t>
        </is>
      </c>
      <c r="B13" s="15">
        <f>B6*Assumptions!$B$51</f>
        <v/>
      </c>
      <c r="C13" s="15">
        <f>C6*Assumptions!$B$51</f>
        <v/>
      </c>
    </row>
    <row r="14">
      <c r="A14" s="5" t="inlineStr">
        <is>
          <t>AI cost per month</t>
        </is>
      </c>
      <c r="B14" s="15">
        <f>B9*Assumptions!$B$51</f>
        <v/>
      </c>
      <c r="C14" s="15">
        <f>C9*Assumptions!$B$51</f>
        <v/>
      </c>
    </row>
    <row r="15">
      <c r="A15" s="5" t="inlineStr">
        <is>
          <t>Infrastructure per month</t>
        </is>
      </c>
      <c r="B15" s="15">
        <f>Assumptions!$B$52</f>
        <v/>
      </c>
      <c r="C15" s="15">
        <f>Assumptions!$B$52</f>
        <v/>
      </c>
    </row>
    <row r="16">
      <c r="A16" s="5" t="inlineStr">
        <is>
          <t>Contribution per month</t>
        </is>
      </c>
      <c r="B16" s="15">
        <f>B13-B14-B15</f>
        <v/>
      </c>
      <c r="C16" s="15">
        <f>C13-C14-C15</f>
        <v/>
      </c>
    </row>
    <row r="17">
      <c r="A17" s="5" t="inlineStr">
        <is>
          <t>Margin per month</t>
        </is>
      </c>
      <c r="B17" s="14">
        <f>IF(B13=0,0,B16/B13)</f>
        <v/>
      </c>
      <c r="C17" s="14">
        <f>IF(C13=0,0,C16/C13)</f>
        <v/>
      </c>
    </row>
    <row r="18">
      <c r="A18" s="5" t="inlineStr">
        <is>
          <t>Months of contribution to pay one SMS sign-up code</t>
        </is>
      </c>
      <c r="B18" s="16">
        <f>IF(B16&lt;=0,"never",Assumptions!$B$53/B16)</f>
        <v/>
      </c>
      <c r="C18" s="16">
        <f>IF(C16&lt;=0,"never",Assumptions!$B$53/C16)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Premium economics and blended result per monthly user (USD)</t>
        </is>
      </c>
      <c r="B1" s="2" t="n"/>
    </row>
    <row r="2">
      <c r="A2" s="2" t="n"/>
      <c r="B2" s="2" t="n"/>
    </row>
    <row r="3">
      <c r="A3" s="5" t="inlineStr">
        <is>
          <t>Net revenue per Premium user per month</t>
        </is>
      </c>
      <c r="B3" s="17">
        <f>Assumptions!$B$55*(1-Assumptions!$B$56)</f>
        <v/>
      </c>
    </row>
    <row r="4">
      <c r="A4" s="5" t="inlineStr">
        <is>
          <t>Premium AI cost per month (coach)</t>
        </is>
      </c>
      <c r="B4" s="17">
        <f>Assumptions!$B$58*Assumptions!$B$59*'Feature cost'!$C$4</f>
        <v/>
      </c>
    </row>
    <row r="5">
      <c r="A5" s="5" t="inlineStr">
        <is>
          <t>Premium AI cost per month (other)</t>
        </is>
      </c>
      <c r="B5" s="17">
        <f>Assumptions!$B$58*Assumptions!$B$60</f>
        <v/>
      </c>
    </row>
    <row r="6">
      <c r="A6" s="5" t="inlineStr">
        <is>
          <t>Contribution per Premium user per month</t>
        </is>
      </c>
      <c r="B6" s="15">
        <f>B3-B4-B5</f>
        <v/>
      </c>
    </row>
    <row r="7">
      <c r="A7" s="5" t="inlineStr">
        <is>
          <t>Free user contribution per month (typical)</t>
        </is>
      </c>
      <c r="B7" s="17">
        <f>'Free user P&amp;L'!$B$16</f>
        <v/>
      </c>
    </row>
    <row r="8">
      <c r="A8" s="5" t="inlineStr">
        <is>
          <t>Blended contribution per monthly user</t>
        </is>
      </c>
      <c r="B8" s="17">
        <f>Assumptions!$B$57*B6+(1-Assumptions!$B$57)*B7</f>
        <v/>
      </c>
    </row>
    <row r="9">
      <c r="A9" s="5" t="inlineStr">
        <is>
          <t>...of which from Premium</t>
        </is>
      </c>
      <c r="B9" s="17">
        <f>Assumptions!$B$57*B6</f>
        <v/>
      </c>
    </row>
    <row r="10">
      <c r="A10" s="5" t="inlineStr">
        <is>
          <t>...of which from ads (free users)</t>
        </is>
      </c>
      <c r="B10" s="17">
        <f>(1-Assumptions!$B$57)*B7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Break-even ad rates for a typical free user</t>
        </is>
      </c>
      <c r="B1" s="2" t="n"/>
    </row>
    <row r="2">
      <c r="A2" s="2" t="n"/>
      <c r="B2" s="2" t="n"/>
    </row>
    <row r="3">
      <c r="A3" s="5" t="inlineStr">
        <is>
          <t>Typical AI cost per active day</t>
        </is>
      </c>
      <c r="B3" s="12">
        <f>'Free user P&amp;L'!$B$9</f>
        <v/>
      </c>
    </row>
    <row r="4">
      <c r="A4" s="5" t="inlineStr">
        <is>
          <t>Banner revenue per active day</t>
        </is>
      </c>
      <c r="B4" s="12">
        <f>'Free user P&amp;L'!$B$4</f>
        <v/>
      </c>
    </row>
    <row r="5">
      <c r="A5" s="5" t="inlineStr">
        <is>
          <t>Rewarded eCPM needed to cover AI (at this banner rate)</t>
        </is>
      </c>
      <c r="B5" s="17">
        <f>IF(Assumptions!$B$43=0,0,MAX(0,(B3-B4))/Assumptions!$B$43*1000/(1-Assumptions!$B$32*(1-Assumptions!$B$33)))</f>
        <v/>
      </c>
    </row>
    <row r="6">
      <c r="A6" s="5" t="inlineStr">
        <is>
          <t>Banner eCPM needed with no rewarded videos</t>
        </is>
      </c>
      <c r="B6" s="17">
        <f>IF(Assumptions!$B$30=0,0,B3/Assumptions!$B$30*1000/(1-Assumptions!$B$32*(1-Assumptions!$B$33)))</f>
        <v/>
      </c>
    </row>
    <row r="7">
      <c r="A7" s="2" t="n"/>
      <c r="B7" s="2" t="n"/>
    </row>
    <row r="8">
      <c r="A8" s="3" t="inlineStr">
        <is>
          <t>Ad eCPMs are after the non-personalised adjustment set on Assumptions.</t>
        </is>
      </c>
      <c r="B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2026-09-29T09:40:50Z</dcterms:created>
  <dcterms:modified xsi:type="dcterms:W3CDTF">2026-09-29T09:40:50Z</dcterms:modified>
</cp:coreProperties>
</file>